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ethanol Employment" sheetId="1" state="visible" r:id="rId1"/>
    <sheet xmlns:r="http://schemas.openxmlformats.org/officeDocument/2006/relationships" name="2024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3" fontId="4" fillId="4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3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left" wrapText="1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3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3" fontId="7" fillId="6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5" customWidth="1" min="4" max="4"/>
    <col width="42" customWidth="1" min="5" max="5"/>
  </cols>
  <sheetData>
    <row r="1" ht="30" customHeight="1">
      <c r="A1" s="1" t="inlineStr">
        <is>
          <t>Brazil Ethanol Industry — Employment Data</t>
        </is>
      </c>
    </row>
    <row r="2">
      <c r="A2" s="2" t="inlineStr">
        <is>
          <t>Source: IRENA Renewable Energy and Jobs Annual Review 2025 / UNICAdata 2025 / MTE/RAIS 2025</t>
        </is>
      </c>
    </row>
    <row r="3" ht="25" customHeight="1">
      <c r="A3" s="3" t="inlineStr">
        <is>
          <t>Year</t>
        </is>
      </c>
      <c r="B3" s="3" t="inlineStr">
        <is>
          <t>Bioethanol Jobs</t>
        </is>
      </c>
      <c r="C3" s="3" t="inlineStr">
        <is>
          <t>Total Sugarcane Sector Jobs</t>
        </is>
      </c>
      <c r="D3" s="3" t="inlineStr">
        <is>
          <t>Notes</t>
        </is>
      </c>
      <c r="E3" s="3" t="inlineStr">
        <is>
          <t>Source</t>
        </is>
      </c>
    </row>
    <row r="4">
      <c r="A4" s="4" t="n">
        <v>2008</v>
      </c>
      <c r="B4" s="4" t="n"/>
      <c r="C4" s="5" t="n">
        <v>1300000</v>
      </c>
      <c r="D4" s="6" t="inlineStr">
        <is>
          <t>Peak employment in sugarcane-energy sector</t>
        </is>
      </c>
      <c r="E4" s="6" t="inlineStr">
        <is>
          <t>UNICAdata 2025 via IRENA 2025</t>
        </is>
      </c>
    </row>
    <row r="5">
      <c r="A5" s="7" t="n">
        <v>2020</v>
      </c>
      <c r="B5" s="8" t="n">
        <v>336200</v>
      </c>
      <c r="C5" s="7" t="n"/>
      <c r="D5" s="9" t="inlineStr">
        <is>
          <t>Low point due to growing mechanisation in agriculture</t>
        </is>
      </c>
      <c r="E5" s="9" t="inlineStr">
        <is>
          <t>MTE/RAIS 2025 via IRENA 2025</t>
        </is>
      </c>
    </row>
    <row r="6">
      <c r="A6" s="4" t="n">
        <v>2023</v>
      </c>
      <c r="B6" s="5" t="n">
        <v>367500</v>
      </c>
      <c r="C6" s="4" t="n"/>
      <c r="D6" s="6" t="inlineStr">
        <is>
          <t>Steady recovery driven by output growth</t>
        </is>
      </c>
      <c r="E6" s="6" t="inlineStr">
        <is>
          <t>MTE/RAIS 2025 via IRENA 2025</t>
        </is>
      </c>
    </row>
    <row r="7">
      <c r="A7" s="7" t="n">
        <v>2024</v>
      </c>
      <c r="B7" s="8" t="n">
        <v>378100</v>
      </c>
      <c r="C7" s="8" t="n">
        <v>751377</v>
      </c>
      <c r="D7" s="9" t="inlineStr">
        <is>
          <t>474,211 in agriculture; 176,421 in industry</t>
        </is>
      </c>
      <c r="E7" s="9" t="inlineStr">
        <is>
          <t>UNICAdata 2025 &amp; MTE/RAIS 2025 via IRENA 2025</t>
        </is>
      </c>
    </row>
    <row r="9" ht="22" customHeight="1">
      <c r="A9" s="10" t="inlineStr">
        <is>
          <t>KEY KPI METRICS FOR DASHBOARD</t>
        </is>
      </c>
    </row>
    <row r="10">
      <c r="A10" s="11" t="inlineStr">
        <is>
          <t>KPI</t>
        </is>
      </c>
      <c r="B10" s="11" t="inlineStr">
        <is>
          <t>Value</t>
        </is>
      </c>
      <c r="C10" s="11" t="inlineStr">
        <is>
          <t>Unit</t>
        </is>
      </c>
      <c r="D10" s="11" t="inlineStr">
        <is>
          <t>Context</t>
        </is>
      </c>
      <c r="E10" s="11" t="inlineStr">
        <is>
          <t>Source</t>
        </is>
      </c>
    </row>
    <row r="11">
      <c r="A11" s="7" t="inlineStr">
        <is>
          <t>Peak Sector Jobs</t>
        </is>
      </c>
      <c r="B11" s="8" t="n">
        <v>1300000</v>
      </c>
      <c r="C11" s="7" t="inlineStr">
        <is>
          <t>Jobs</t>
        </is>
      </c>
      <c r="D11" s="9" t="inlineStr">
        <is>
          <t>Reached in 2008 before mechanisation</t>
        </is>
      </c>
      <c r="E11" s="9" t="inlineStr">
        <is>
          <t>UNICAdata 2025 via IRENA 2025</t>
        </is>
      </c>
    </row>
    <row r="12">
      <c r="A12" s="4" t="inlineStr">
        <is>
          <t>Current Bioethanol Jobs</t>
        </is>
      </c>
      <c r="B12" s="5" t="n">
        <v>378100</v>
      </c>
      <c r="C12" s="4" t="inlineStr">
        <is>
          <t>Jobs</t>
        </is>
      </c>
      <c r="D12" s="6" t="inlineStr">
        <is>
          <t>2024 figure — growing since 2020 low</t>
        </is>
      </c>
      <c r="E12" s="6" t="inlineStr">
        <is>
          <t>MTE/RAIS 2025 via IRENA 2025</t>
        </is>
      </c>
    </row>
    <row r="13">
      <c r="A13" s="7" t="inlineStr">
        <is>
          <t>Total Sector Jobs 2024</t>
        </is>
      </c>
      <c r="B13" s="8" t="n">
        <v>751377</v>
      </c>
      <c r="C13" s="7" t="inlineStr">
        <is>
          <t>Jobs</t>
        </is>
      </c>
      <c r="D13" s="9" t="inlineStr">
        <is>
          <t>Incl. agriculture, industry &amp; other sectors</t>
        </is>
      </c>
      <c r="E13" s="9" t="inlineStr">
        <is>
          <t>UNICAdata 2025 via IRENA 2025</t>
        </is>
      </c>
    </row>
    <row r="14">
      <c r="A14" s="4" t="inlineStr">
        <is>
          <t>Industry Revenue</t>
        </is>
      </c>
      <c r="B14" s="4" t="n">
        <v>36</v>
      </c>
      <c r="C14" s="4" t="inlineStr">
        <is>
          <t>Billion USD</t>
        </is>
      </c>
      <c r="D14" s="6" t="inlineStr">
        <is>
          <t>Annual gross revenue from sugarcane sector</t>
        </is>
      </c>
      <c r="E14" s="6" t="inlineStr">
        <is>
          <t>UNICA Institutional Report</t>
        </is>
      </c>
    </row>
    <row r="15">
      <c r="A15" s="7" t="inlineStr">
        <is>
          <t>GDP Contribution (2008)</t>
        </is>
      </c>
      <c r="B15" s="7" t="n">
        <v>28</v>
      </c>
      <c r="C15" s="7" t="inlineStr">
        <is>
          <t>Billion USD</t>
        </is>
      </c>
      <c r="D15" s="9" t="inlineStr">
        <is>
          <t>~2% of Brazilian GDP in 2008</t>
        </is>
      </c>
      <c r="E15" s="9" t="inlineStr">
        <is>
          <t>UNICA / Markestrat 2008</t>
        </is>
      </c>
    </row>
    <row r="16">
      <c r="A16" s="4" t="inlineStr">
        <is>
          <t>CO2 Avoided Since 1975</t>
        </is>
      </c>
      <c r="B16" s="4" t="n">
        <v>828</v>
      </c>
      <c r="C16" s="4" t="inlineStr">
        <is>
          <t>Million tCO2e</t>
        </is>
      </c>
      <c r="D16" s="6" t="inlineStr">
        <is>
          <t>vs equivalent gasoline consumption</t>
        </is>
      </c>
      <c r="E16" s="6" t="inlineStr">
        <is>
          <t>Tandfonline Research 2024</t>
        </is>
      </c>
    </row>
    <row r="17">
      <c r="A17" s="7" t="inlineStr">
        <is>
          <t>Emissions Reduction</t>
        </is>
      </c>
      <c r="B17" s="7" t="inlineStr">
        <is>
          <t>39-46%</t>
        </is>
      </c>
      <c r="C17" s="7" t="inlineStr">
        <is>
          <t>%</t>
        </is>
      </c>
      <c r="D17" s="9" t="inlineStr">
        <is>
          <t>Ethanol vs gasoline lifecycle comparison</t>
        </is>
      </c>
      <c r="E17" s="9" t="inlineStr">
        <is>
          <t>Tandfonline Research 2024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 ht="28" customHeight="1">
      <c r="A1" s="12" t="inlineStr">
        <is>
          <t>Brazil Sugarcane Sector — Employment Breakdown 2024</t>
        </is>
      </c>
    </row>
    <row r="2">
      <c r="A2" s="2" t="inlineStr">
        <is>
          <t>Source: UNICAdata 2025 via IRENA Renewable Energy and Jobs Annual Review 2025</t>
        </is>
      </c>
    </row>
    <row r="3">
      <c r="A3" s="11" t="inlineStr">
        <is>
          <t>Sector</t>
        </is>
      </c>
      <c r="B3" s="11" t="inlineStr">
        <is>
          <t>Jobs (2024)</t>
        </is>
      </c>
      <c r="C3" s="11" t="inlineStr">
        <is>
          <t>Share (%)</t>
        </is>
      </c>
    </row>
    <row r="4">
      <c r="A4" s="13" t="inlineStr">
        <is>
          <t>Agriculture</t>
        </is>
      </c>
      <c r="B4" s="14" t="n">
        <v>474211</v>
      </c>
      <c r="C4" s="15">
        <f>B4/751377*100</f>
        <v/>
      </c>
    </row>
    <row r="5">
      <c r="A5" s="16" t="inlineStr">
        <is>
          <t>Industry</t>
        </is>
      </c>
      <c r="B5" s="17" t="n">
        <v>176421</v>
      </c>
      <c r="C5" s="18">
        <f>B5/751377*100</f>
        <v/>
      </c>
    </row>
    <row r="6">
      <c r="A6" s="13" t="inlineStr">
        <is>
          <t>Other Sectors</t>
        </is>
      </c>
      <c r="B6" s="14" t="n">
        <v>100745</v>
      </c>
      <c r="C6" s="15">
        <f>B6/751377*100</f>
        <v/>
      </c>
    </row>
    <row r="7">
      <c r="A7" s="19" t="inlineStr">
        <is>
          <t>TOTAL</t>
        </is>
      </c>
      <c r="B7" s="20" t="n">
        <v>751377</v>
      </c>
      <c r="C7" s="21">
        <f>SUM(C4:C6)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2026-05-21T10:46:00Z</dcterms:created>
  <dcterms:modified xmlns:dcterms="http://purl.org/dc/terms/" xmlns:xsi="http://www.w3.org/2001/XMLSchema-instance" xsi:type="dcterms:W3CDTF">2026-05-21T10:46:00Z</dcterms:modified>
</cp:coreProperties>
</file>